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8_{A495B1FB-3CD5-4AF2-BD3F-3B6BBFE7E841}" xr6:coauthVersionLast="36" xr6:coauthVersionMax="36" xr10:uidLastSave="{00000000-0000-0000-0000-000000000000}"/>
  <bookViews>
    <workbookView xWindow="0" yWindow="0" windowWidth="28770" windowHeight="11940" xr2:uid="{29C00F8A-3A83-4B5C-843F-EA60AFEE3A24}"/>
  </bookViews>
  <sheets>
    <sheet name="Лист1" sheetId="1" r:id="rId1"/>
  </sheets>
  <definedNames>
    <definedName name="_xlnm._FilterDatabase" localSheetId="0" hidden="1">Лист1!$A$1:$D$52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52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3" i="1"/>
</calcChain>
</file>

<file path=xl/sharedStrings.xml><?xml version="1.0" encoding="utf-8"?>
<sst xmlns="http://schemas.openxmlformats.org/spreadsheetml/2006/main" count="103" uniqueCount="103">
  <si>
    <t>Код МО</t>
  </si>
  <si>
    <t>Наименование МО</t>
  </si>
  <si>
    <t>Всего</t>
  </si>
  <si>
    <t>010101</t>
  </si>
  <si>
    <t>020101</t>
  </si>
  <si>
    <t>031801</t>
  </si>
  <si>
    <t>041601</t>
  </si>
  <si>
    <t>050101</t>
  </si>
  <si>
    <t>060101</t>
  </si>
  <si>
    <t>070101</t>
  </si>
  <si>
    <t>080101</t>
  </si>
  <si>
    <t>100101</t>
  </si>
  <si>
    <t>110101</t>
  </si>
  <si>
    <t>141101</t>
  </si>
  <si>
    <t>150101</t>
  </si>
  <si>
    <t>160101</t>
  </si>
  <si>
    <t>170101</t>
  </si>
  <si>
    <t>191901</t>
  </si>
  <si>
    <t>202401</t>
  </si>
  <si>
    <t>210101</t>
  </si>
  <si>
    <t>220101</t>
  </si>
  <si>
    <t>230101</t>
  </si>
  <si>
    <t>240101</t>
  </si>
  <si>
    <t>250101</t>
  </si>
  <si>
    <t>261501</t>
  </si>
  <si>
    <t>263001</t>
  </si>
  <si>
    <t>270101</t>
  </si>
  <si>
    <t>280101</t>
  </si>
  <si>
    <t>291601</t>
  </si>
  <si>
    <t>300101</t>
  </si>
  <si>
    <t>311301</t>
  </si>
  <si>
    <t>313301</t>
  </si>
  <si>
    <t>334801</t>
  </si>
  <si>
    <t>340101</t>
  </si>
  <si>
    <t>360201</t>
  </si>
  <si>
    <t>363001</t>
  </si>
  <si>
    <t>371702</t>
  </si>
  <si>
    <t>381401</t>
  </si>
  <si>
    <t>390101</t>
  </si>
  <si>
    <t>400601</t>
  </si>
  <si>
    <t>410101</t>
  </si>
  <si>
    <t>420101</t>
  </si>
  <si>
    <t>440101</t>
  </si>
  <si>
    <t>450701</t>
  </si>
  <si>
    <t>461501</t>
  </si>
  <si>
    <t>500101</t>
  </si>
  <si>
    <t>510112</t>
  </si>
  <si>
    <t>521301</t>
  </si>
  <si>
    <t>530101</t>
  </si>
  <si>
    <t>543001</t>
  </si>
  <si>
    <t>550101</t>
  </si>
  <si>
    <t>580401</t>
  </si>
  <si>
    <t>Итого по всем СМО</t>
  </si>
  <si>
    <t>КОТЕЛЬНИКОВСКАЯ ПОЛИКЛИНИКА</t>
  </si>
  <si>
    <t>КРАСНОЗНАМЕНСКАЯ ПОЛИКЛИНИКА</t>
  </si>
  <si>
    <t>ЖУКОВСКАЯ ОКБ</t>
  </si>
  <si>
    <t>ЛЮБЕРЕЦКАЯ ОКБ</t>
  </si>
  <si>
    <t>МЫТИЩИНСКАЯ ОКБ</t>
  </si>
  <si>
    <t>ПОДОЛЬСКАЯ ОКБ</t>
  </si>
  <si>
    <t>ДОЛГОПРУДНЕНСКАЯ КБ</t>
  </si>
  <si>
    <t>ИСТРИНСКАЯ КБ</t>
  </si>
  <si>
    <t>КРАСНОГОРСКАЯ КБ</t>
  </si>
  <si>
    <t>ВИДНОВСКАЯ КБ</t>
  </si>
  <si>
    <t>РЕУТОВСКАЯ КБ</t>
  </si>
  <si>
    <t>СТУПИНСКАЯ КБ</t>
  </si>
  <si>
    <t>ХИМКИНСКАЯ КБ</t>
  </si>
  <si>
    <t>ОДИНЦОВСКАЯ ОБ</t>
  </si>
  <si>
    <t>БАЛАШИХИНСКАЯ Б</t>
  </si>
  <si>
    <t>ВОЛОКОЛАМСКАЯ Б</t>
  </si>
  <si>
    <t>ВОСКРЕСЕНСКАЯ Б</t>
  </si>
  <si>
    <t>ДМИТРОВСКАЯ Б</t>
  </si>
  <si>
    <t>ДОМОДЕДОВСКАЯ Б</t>
  </si>
  <si>
    <t>ДУБНЕНСКАЯ Б</t>
  </si>
  <si>
    <t>ЕГОРЬЕВСКАЯ Б</t>
  </si>
  <si>
    <t>ЗАРАЙСКАЯ Б</t>
  </si>
  <si>
    <t>КОРОЛЁВСКАЯ Б</t>
  </si>
  <si>
    <t>КАШИРСКАЯ Б</t>
  </si>
  <si>
    <t>КЛИНСКАЯ Б</t>
  </si>
  <si>
    <t>КОЛОМЕНСКАЯ Б</t>
  </si>
  <si>
    <t>ЛОТОШИНСКАЯ Б</t>
  </si>
  <si>
    <t>ЛОБНЕНСКАЯ Б</t>
  </si>
  <si>
    <t>ЛУХОВИЦКАЯ Б</t>
  </si>
  <si>
    <t>ЛЫТКАРИНСКАЯ Б</t>
  </si>
  <si>
    <t>МОЖАЙСКАЯ Б</t>
  </si>
  <si>
    <t>НАРО-ФОМИНСКАЯ Б</t>
  </si>
  <si>
    <t>НОГИНСКАЯ Б</t>
  </si>
  <si>
    <t>ОРЕХОВО-ЗУЕВСКАЯ Б</t>
  </si>
  <si>
    <t>ПАВЛОВО-ПОСАДСКАЯ Б</t>
  </si>
  <si>
    <t>ПОДОЛЬСКАЯ ДЕТСКАЯ Б</t>
  </si>
  <si>
    <t>РАМЕНСКАЯ Б</t>
  </si>
  <si>
    <t>РУЗСКАЯ Б</t>
  </si>
  <si>
    <t>СЕРГИЕВО-ПОСАДСКАЯ Б</t>
  </si>
  <si>
    <t>СЕРЕБРЯНО-ПРУДСКАЯ Б</t>
  </si>
  <si>
    <t>СЕРПУХОВСКАЯ Б</t>
  </si>
  <si>
    <t>СОЛНЕЧНОГОРСКАЯ Б</t>
  </si>
  <si>
    <t>ЧЕХОВСКАЯ Б</t>
  </si>
  <si>
    <t>ШАТУРСКАЯ Б</t>
  </si>
  <si>
    <t>ШАХОВСКАЯ Б</t>
  </si>
  <si>
    <t>ЩЕЛКОВСКАЯ Б</t>
  </si>
  <si>
    <t>ЭЛЕКТРОСТАЛЬСКАЯ Б</t>
  </si>
  <si>
    <t>ПКБ ИМ. ПРОФ. РОЗАНОВА В.Н.</t>
  </si>
  <si>
    <t>ПОЛИКЛИНИКА Г.О. ВЛАСИХА</t>
  </si>
  <si>
    <t>Категория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</si>
</sst>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#,##0;\-#,##0;"/>
  </numFmts>
  <fonts count="3" x14ac:knownFonts="1">
    <font>
      <sz val="11"/>
      <color theme="1"/>
      <name val="Calibri"/>
      <family val="2"/>
      <charset val="204"/>
      <scheme val="minor"/>
    </font>
    <font>
      <sz val="10"/>
      <color rgb="FF000000"/>
      <name val="Arial"/>
      <charset val="1"/>
    </font>
    <font>
      <sz val="9"/>
      <color rgb="FF00000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CE6D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0" fillId="0" borderId="0" xfId="0" applyAlignment="1"/>
    <xf numFmtId="0" fontId="2" fillId="0" borderId="1" xfId="1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2" fillId="0" borderId="1" xfId="1" applyFont="1" applyFill="1" applyBorder="1" applyAlignment="1">
      <alignment vertical="center"/>
    </xf>
    <xf numFmtId="168" fontId="2" fillId="0" borderId="1" xfId="1" applyNumberFormat="1" applyFont="1" applyFill="1" applyBorder="1" applyAlignment="1">
      <alignment horizontal="right" vertical="center"/>
    </xf>
    <xf numFmtId="0" fontId="0" fillId="0" borderId="1" xfId="0" applyBorder="1"/>
    <xf numFmtId="0" fontId="2" fillId="2" borderId="1" xfId="1" applyFont="1" applyFill="1" applyBorder="1" applyAlignment="1">
      <alignment vertical="center" wrapText="1"/>
    </xf>
    <xf numFmtId="168" fontId="2" fillId="2" borderId="1" xfId="1" applyNumberFormat="1" applyFont="1" applyFill="1" applyBorder="1" applyAlignment="1">
      <alignment horizontal="right" vertical="center"/>
    </xf>
  </cellXfs>
  <cellStyles count="2">
    <cellStyle name="Обычный" xfId="0" builtinId="0"/>
    <cellStyle name="Обычный 2" xfId="1" xr:uid="{00000000-0005-0000-0000-00002F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0AA63-07FA-44AE-96BE-F9E754E7A2B7}">
  <dimension ref="A1:D52"/>
  <sheetViews>
    <sheetView tabSelected="1" workbookViewId="0">
      <selection activeCell="F4" sqref="F4"/>
    </sheetView>
  </sheetViews>
  <sheetFormatPr defaultRowHeight="15" x14ac:dyDescent="0.25"/>
  <cols>
    <col min="2" max="2" width="44.28515625" style="1" customWidth="1"/>
    <col min="4" max="4" width="25" customWidth="1"/>
  </cols>
  <sheetData>
    <row r="1" spans="1:4" x14ac:dyDescent="0.25">
      <c r="A1" s="2" t="s">
        <v>0</v>
      </c>
      <c r="B1" s="2" t="s">
        <v>1</v>
      </c>
      <c r="C1" s="2" t="s">
        <v>2</v>
      </c>
      <c r="D1" s="3" t="s">
        <v>102</v>
      </c>
    </row>
    <row r="2" spans="1:4" x14ac:dyDescent="0.25">
      <c r="A2" s="2"/>
      <c r="B2" s="2"/>
      <c r="C2" s="2"/>
      <c r="D2" s="3"/>
    </row>
    <row r="3" spans="1:4" x14ac:dyDescent="0.25">
      <c r="A3" s="4" t="s">
        <v>3</v>
      </c>
      <c r="B3" s="4" t="s">
        <v>67</v>
      </c>
      <c r="C3" s="5">
        <v>472302</v>
      </c>
      <c r="D3" s="6" t="str">
        <f>IF(C3&lt;100000,"Менее 100 тыс.",IF(C3&lt;200000,"От 100 тыс. до 200 тыс.","свыше 200 тыс."))</f>
        <v>свыше 200 тыс.</v>
      </c>
    </row>
    <row r="4" spans="1:4" x14ac:dyDescent="0.25">
      <c r="A4" s="4" t="s">
        <v>4</v>
      </c>
      <c r="B4" s="4" t="s">
        <v>68</v>
      </c>
      <c r="C4" s="5">
        <v>41924</v>
      </c>
      <c r="D4" s="6" t="str">
        <f t="shared" ref="D4:D52" si="0">IF(C4&lt;100000,"Менее 100 тыс.",IF(C4&lt;200000,"От 100 тыс. до 200 тыс.","свыше 200 тыс."))</f>
        <v>Менее 100 тыс.</v>
      </c>
    </row>
    <row r="5" spans="1:4" x14ac:dyDescent="0.25">
      <c r="A5" s="4" t="s">
        <v>5</v>
      </c>
      <c r="B5" s="4" t="s">
        <v>69</v>
      </c>
      <c r="C5" s="5">
        <v>144089</v>
      </c>
      <c r="D5" s="6" t="str">
        <f t="shared" si="0"/>
        <v>От 100 тыс. до 200 тыс.</v>
      </c>
    </row>
    <row r="6" spans="1:4" x14ac:dyDescent="0.25">
      <c r="A6" s="4" t="s">
        <v>6</v>
      </c>
      <c r="B6" s="4" t="s">
        <v>70</v>
      </c>
      <c r="C6" s="5">
        <v>165866</v>
      </c>
      <c r="D6" s="6" t="str">
        <f t="shared" si="0"/>
        <v>От 100 тыс. до 200 тыс.</v>
      </c>
    </row>
    <row r="7" spans="1:4" x14ac:dyDescent="0.25">
      <c r="A7" s="4" t="s">
        <v>7</v>
      </c>
      <c r="B7" s="4" t="s">
        <v>59</v>
      </c>
      <c r="C7" s="5">
        <v>103311</v>
      </c>
      <c r="D7" s="6" t="str">
        <f t="shared" si="0"/>
        <v>От 100 тыс. до 200 тыс.</v>
      </c>
    </row>
    <row r="8" spans="1:4" x14ac:dyDescent="0.25">
      <c r="A8" s="4" t="s">
        <v>8</v>
      </c>
      <c r="B8" s="4" t="s">
        <v>71</v>
      </c>
      <c r="C8" s="5">
        <v>210481</v>
      </c>
      <c r="D8" s="6" t="str">
        <f t="shared" si="0"/>
        <v>свыше 200 тыс.</v>
      </c>
    </row>
    <row r="9" spans="1:4" x14ac:dyDescent="0.25">
      <c r="A9" s="4" t="s">
        <v>9</v>
      </c>
      <c r="B9" s="4" t="s">
        <v>72</v>
      </c>
      <c r="C9" s="5">
        <v>96809</v>
      </c>
      <c r="D9" s="6" t="str">
        <f t="shared" si="0"/>
        <v>Менее 100 тыс.</v>
      </c>
    </row>
    <row r="10" spans="1:4" x14ac:dyDescent="0.25">
      <c r="A10" s="4" t="s">
        <v>10</v>
      </c>
      <c r="B10" s="4" t="s">
        <v>73</v>
      </c>
      <c r="C10" s="5">
        <v>91681</v>
      </c>
      <c r="D10" s="6" t="str">
        <f t="shared" si="0"/>
        <v>Менее 100 тыс.</v>
      </c>
    </row>
    <row r="11" spans="1:4" x14ac:dyDescent="0.25">
      <c r="A11" s="4" t="s">
        <v>11</v>
      </c>
      <c r="B11" s="4" t="s">
        <v>55</v>
      </c>
      <c r="C11" s="5">
        <v>97647</v>
      </c>
      <c r="D11" s="6" t="str">
        <f t="shared" si="0"/>
        <v>Менее 100 тыс.</v>
      </c>
    </row>
    <row r="12" spans="1:4" x14ac:dyDescent="0.25">
      <c r="A12" s="4" t="s">
        <v>12</v>
      </c>
      <c r="B12" s="4" t="s">
        <v>74</v>
      </c>
      <c r="C12" s="5">
        <v>32250</v>
      </c>
      <c r="D12" s="6" t="str">
        <f t="shared" si="0"/>
        <v>Менее 100 тыс.</v>
      </c>
    </row>
    <row r="13" spans="1:4" x14ac:dyDescent="0.25">
      <c r="A13" s="4" t="s">
        <v>13</v>
      </c>
      <c r="B13" s="4" t="s">
        <v>60</v>
      </c>
      <c r="C13" s="5">
        <v>146593</v>
      </c>
      <c r="D13" s="6" t="str">
        <f t="shared" si="0"/>
        <v>От 100 тыс. до 200 тыс.</v>
      </c>
    </row>
    <row r="14" spans="1:4" x14ac:dyDescent="0.25">
      <c r="A14" s="4" t="s">
        <v>14</v>
      </c>
      <c r="B14" s="4" t="s">
        <v>75</v>
      </c>
      <c r="C14" s="5">
        <v>220264</v>
      </c>
      <c r="D14" s="6" t="str">
        <f t="shared" si="0"/>
        <v>свыше 200 тыс.</v>
      </c>
    </row>
    <row r="15" spans="1:4" x14ac:dyDescent="0.25">
      <c r="A15" s="4" t="s">
        <v>15</v>
      </c>
      <c r="B15" s="4" t="s">
        <v>76</v>
      </c>
      <c r="C15" s="5">
        <v>49840</v>
      </c>
      <c r="D15" s="6" t="str">
        <f t="shared" si="0"/>
        <v>Менее 100 тыс.</v>
      </c>
    </row>
    <row r="16" spans="1:4" x14ac:dyDescent="0.25">
      <c r="A16" s="4" t="s">
        <v>16</v>
      </c>
      <c r="B16" s="4" t="s">
        <v>77</v>
      </c>
      <c r="C16" s="5">
        <v>125691</v>
      </c>
      <c r="D16" s="6" t="str">
        <f t="shared" si="0"/>
        <v>От 100 тыс. до 200 тыс.</v>
      </c>
    </row>
    <row r="17" spans="1:4" x14ac:dyDescent="0.25">
      <c r="A17" s="4" t="s">
        <v>17</v>
      </c>
      <c r="B17" s="4" t="s">
        <v>78</v>
      </c>
      <c r="C17" s="5">
        <v>208755</v>
      </c>
      <c r="D17" s="6" t="str">
        <f t="shared" si="0"/>
        <v>свыше 200 тыс.</v>
      </c>
    </row>
    <row r="18" spans="1:4" x14ac:dyDescent="0.25">
      <c r="A18" s="4" t="s">
        <v>18</v>
      </c>
      <c r="B18" s="4" t="s">
        <v>61</v>
      </c>
      <c r="C18" s="5">
        <v>318611</v>
      </c>
      <c r="D18" s="6" t="str">
        <f t="shared" si="0"/>
        <v>свыше 200 тыс.</v>
      </c>
    </row>
    <row r="19" spans="1:4" x14ac:dyDescent="0.25">
      <c r="A19" s="4" t="s">
        <v>19</v>
      </c>
      <c r="B19" s="4" t="s">
        <v>62</v>
      </c>
      <c r="C19" s="5">
        <v>224879</v>
      </c>
      <c r="D19" s="6" t="str">
        <f t="shared" si="0"/>
        <v>свыше 200 тыс.</v>
      </c>
    </row>
    <row r="20" spans="1:4" x14ac:dyDescent="0.25">
      <c r="A20" s="4" t="s">
        <v>20</v>
      </c>
      <c r="B20" s="4" t="s">
        <v>79</v>
      </c>
      <c r="C20" s="5">
        <v>15455</v>
      </c>
      <c r="D20" s="6" t="str">
        <f t="shared" si="0"/>
        <v>Менее 100 тыс.</v>
      </c>
    </row>
    <row r="21" spans="1:4" x14ac:dyDescent="0.25">
      <c r="A21" s="4" t="s">
        <v>21</v>
      </c>
      <c r="B21" s="4" t="s">
        <v>80</v>
      </c>
      <c r="C21" s="5">
        <v>109058</v>
      </c>
      <c r="D21" s="6" t="str">
        <f t="shared" si="0"/>
        <v>От 100 тыс. до 200 тыс.</v>
      </c>
    </row>
    <row r="22" spans="1:4" x14ac:dyDescent="0.25">
      <c r="A22" s="4" t="s">
        <v>22</v>
      </c>
      <c r="B22" s="4" t="s">
        <v>81</v>
      </c>
      <c r="C22" s="5">
        <v>57942</v>
      </c>
      <c r="D22" s="6" t="str">
        <f t="shared" si="0"/>
        <v>Менее 100 тыс.</v>
      </c>
    </row>
    <row r="23" spans="1:4" x14ac:dyDescent="0.25">
      <c r="A23" s="4" t="s">
        <v>23</v>
      </c>
      <c r="B23" s="4" t="s">
        <v>82</v>
      </c>
      <c r="C23" s="5">
        <v>50349</v>
      </c>
      <c r="D23" s="6" t="str">
        <f t="shared" si="0"/>
        <v>Менее 100 тыс.</v>
      </c>
    </row>
    <row r="24" spans="1:4" x14ac:dyDescent="0.25">
      <c r="A24" s="4" t="s">
        <v>24</v>
      </c>
      <c r="B24" s="4" t="s">
        <v>53</v>
      </c>
      <c r="C24" s="5">
        <v>54927</v>
      </c>
      <c r="D24" s="6" t="str">
        <f t="shared" si="0"/>
        <v>Менее 100 тыс.</v>
      </c>
    </row>
    <row r="25" spans="1:4" x14ac:dyDescent="0.25">
      <c r="A25" s="4" t="s">
        <v>25</v>
      </c>
      <c r="B25" s="4" t="s">
        <v>56</v>
      </c>
      <c r="C25" s="5">
        <v>347706</v>
      </c>
      <c r="D25" s="6" t="str">
        <f t="shared" si="0"/>
        <v>свыше 200 тыс.</v>
      </c>
    </row>
    <row r="26" spans="1:4" x14ac:dyDescent="0.25">
      <c r="A26" s="4" t="s">
        <v>26</v>
      </c>
      <c r="B26" s="4" t="s">
        <v>83</v>
      </c>
      <c r="C26" s="5">
        <v>60747</v>
      </c>
      <c r="D26" s="6" t="str">
        <f t="shared" si="0"/>
        <v>Менее 100 тыс.</v>
      </c>
    </row>
    <row r="27" spans="1:4" x14ac:dyDescent="0.25">
      <c r="A27" s="4" t="s">
        <v>27</v>
      </c>
      <c r="B27" s="4" t="s">
        <v>57</v>
      </c>
      <c r="C27" s="5">
        <v>302312</v>
      </c>
      <c r="D27" s="6" t="str">
        <f t="shared" si="0"/>
        <v>свыше 200 тыс.</v>
      </c>
    </row>
    <row r="28" spans="1:4" x14ac:dyDescent="0.25">
      <c r="A28" s="4" t="s">
        <v>28</v>
      </c>
      <c r="B28" s="4" t="s">
        <v>84</v>
      </c>
      <c r="C28" s="5">
        <v>158094</v>
      </c>
      <c r="D28" s="6" t="str">
        <f t="shared" si="0"/>
        <v>От 100 тыс. до 200 тыс.</v>
      </c>
    </row>
    <row r="29" spans="1:4" x14ac:dyDescent="0.25">
      <c r="A29" s="4" t="s">
        <v>29</v>
      </c>
      <c r="B29" s="4" t="s">
        <v>85</v>
      </c>
      <c r="C29" s="5">
        <v>212837</v>
      </c>
      <c r="D29" s="6" t="str">
        <f t="shared" si="0"/>
        <v>свыше 200 тыс.</v>
      </c>
    </row>
    <row r="30" spans="1:4" x14ac:dyDescent="0.25">
      <c r="A30" s="4" t="s">
        <v>30</v>
      </c>
      <c r="B30" s="4" t="s">
        <v>101</v>
      </c>
      <c r="C30" s="5">
        <v>3879</v>
      </c>
      <c r="D30" s="6" t="str">
        <f t="shared" si="0"/>
        <v>Менее 100 тыс.</v>
      </c>
    </row>
    <row r="31" spans="1:4" x14ac:dyDescent="0.25">
      <c r="A31" s="4" t="s">
        <v>31</v>
      </c>
      <c r="B31" s="4" t="s">
        <v>66</v>
      </c>
      <c r="C31" s="5">
        <v>374132</v>
      </c>
      <c r="D31" s="6" t="str">
        <f t="shared" si="0"/>
        <v>свыше 200 тыс.</v>
      </c>
    </row>
    <row r="32" spans="1:4" x14ac:dyDescent="0.25">
      <c r="A32" s="4" t="s">
        <v>32</v>
      </c>
      <c r="B32" s="4" t="s">
        <v>86</v>
      </c>
      <c r="C32" s="5">
        <v>194722</v>
      </c>
      <c r="D32" s="6" t="str">
        <f t="shared" si="0"/>
        <v>От 100 тыс. до 200 тыс.</v>
      </c>
    </row>
    <row r="33" spans="1:4" x14ac:dyDescent="0.25">
      <c r="A33" s="4" t="s">
        <v>33</v>
      </c>
      <c r="B33" s="4" t="s">
        <v>87</v>
      </c>
      <c r="C33" s="5">
        <v>102570</v>
      </c>
      <c r="D33" s="6" t="str">
        <f t="shared" si="0"/>
        <v>От 100 тыс. до 200 тыс.</v>
      </c>
    </row>
    <row r="34" spans="1:4" x14ac:dyDescent="0.25">
      <c r="A34" s="4" t="s">
        <v>34</v>
      </c>
      <c r="B34" s="4" t="s">
        <v>88</v>
      </c>
      <c r="C34" s="5">
        <v>75370</v>
      </c>
      <c r="D34" s="6" t="str">
        <f t="shared" si="0"/>
        <v>Менее 100 тыс.</v>
      </c>
    </row>
    <row r="35" spans="1:4" x14ac:dyDescent="0.25">
      <c r="A35" s="4" t="s">
        <v>35</v>
      </c>
      <c r="B35" s="4" t="s">
        <v>58</v>
      </c>
      <c r="C35" s="5">
        <v>287139</v>
      </c>
      <c r="D35" s="6" t="str">
        <f t="shared" si="0"/>
        <v>свыше 200 тыс.</v>
      </c>
    </row>
    <row r="36" spans="1:4" x14ac:dyDescent="0.25">
      <c r="A36" s="4" t="s">
        <v>36</v>
      </c>
      <c r="B36" s="4" t="s">
        <v>100</v>
      </c>
      <c r="C36" s="5">
        <v>264251</v>
      </c>
      <c r="D36" s="6" t="str">
        <f t="shared" si="0"/>
        <v>свыше 200 тыс.</v>
      </c>
    </row>
    <row r="37" spans="1:4" x14ac:dyDescent="0.25">
      <c r="A37" s="4" t="s">
        <v>37</v>
      </c>
      <c r="B37" s="4" t="s">
        <v>89</v>
      </c>
      <c r="C37" s="5">
        <v>308142</v>
      </c>
      <c r="D37" s="6" t="str">
        <f t="shared" si="0"/>
        <v>свыше 200 тыс.</v>
      </c>
    </row>
    <row r="38" spans="1:4" x14ac:dyDescent="0.25">
      <c r="A38" s="4" t="s">
        <v>38</v>
      </c>
      <c r="B38" s="4" t="s">
        <v>63</v>
      </c>
      <c r="C38" s="5">
        <v>89194</v>
      </c>
      <c r="D38" s="6" t="str">
        <f t="shared" si="0"/>
        <v>Менее 100 тыс.</v>
      </c>
    </row>
    <row r="39" spans="1:4" x14ac:dyDescent="0.25">
      <c r="A39" s="4" t="s">
        <v>39</v>
      </c>
      <c r="B39" s="4" t="s">
        <v>90</v>
      </c>
      <c r="C39" s="5">
        <v>60992</v>
      </c>
      <c r="D39" s="6" t="str">
        <f t="shared" si="0"/>
        <v>Менее 100 тыс.</v>
      </c>
    </row>
    <row r="40" spans="1:4" x14ac:dyDescent="0.25">
      <c r="A40" s="4" t="s">
        <v>40</v>
      </c>
      <c r="B40" s="4" t="s">
        <v>91</v>
      </c>
      <c r="C40" s="5">
        <v>198310</v>
      </c>
      <c r="D40" s="6" t="str">
        <f t="shared" si="0"/>
        <v>От 100 тыс. до 200 тыс.</v>
      </c>
    </row>
    <row r="41" spans="1:4" x14ac:dyDescent="0.25">
      <c r="A41" s="4" t="s">
        <v>41</v>
      </c>
      <c r="B41" s="4" t="s">
        <v>92</v>
      </c>
      <c r="C41" s="5">
        <v>19743</v>
      </c>
      <c r="D41" s="6" t="str">
        <f t="shared" si="0"/>
        <v>Менее 100 тыс.</v>
      </c>
    </row>
    <row r="42" spans="1:4" x14ac:dyDescent="0.25">
      <c r="A42" s="4" t="s">
        <v>42</v>
      </c>
      <c r="B42" s="4" t="s">
        <v>93</v>
      </c>
      <c r="C42" s="5">
        <v>173347</v>
      </c>
      <c r="D42" s="6" t="str">
        <f t="shared" si="0"/>
        <v>От 100 тыс. до 200 тыс.</v>
      </c>
    </row>
    <row r="43" spans="1:4" x14ac:dyDescent="0.25">
      <c r="A43" s="4" t="s">
        <v>43</v>
      </c>
      <c r="B43" s="4" t="s">
        <v>94</v>
      </c>
      <c r="C43" s="5">
        <v>138533</v>
      </c>
      <c r="D43" s="6" t="str">
        <f t="shared" si="0"/>
        <v>От 100 тыс. до 200 тыс.</v>
      </c>
    </row>
    <row r="44" spans="1:4" x14ac:dyDescent="0.25">
      <c r="A44" s="4" t="s">
        <v>44</v>
      </c>
      <c r="B44" s="4" t="s">
        <v>64</v>
      </c>
      <c r="C44" s="5">
        <v>107777</v>
      </c>
      <c r="D44" s="6" t="str">
        <f t="shared" si="0"/>
        <v>От 100 тыс. до 200 тыс.</v>
      </c>
    </row>
    <row r="45" spans="1:4" x14ac:dyDescent="0.25">
      <c r="A45" s="4" t="s">
        <v>45</v>
      </c>
      <c r="B45" s="4" t="s">
        <v>65</v>
      </c>
      <c r="C45" s="5">
        <v>258777</v>
      </c>
      <c r="D45" s="6" t="str">
        <f t="shared" si="0"/>
        <v>свыше 200 тыс.</v>
      </c>
    </row>
    <row r="46" spans="1:4" x14ac:dyDescent="0.25">
      <c r="A46" s="4" t="s">
        <v>46</v>
      </c>
      <c r="B46" s="4" t="s">
        <v>95</v>
      </c>
      <c r="C46" s="5">
        <v>125729</v>
      </c>
      <c r="D46" s="6" t="str">
        <f t="shared" si="0"/>
        <v>От 100 тыс. до 200 тыс.</v>
      </c>
    </row>
    <row r="47" spans="1:4" x14ac:dyDescent="0.25">
      <c r="A47" s="4" t="s">
        <v>47</v>
      </c>
      <c r="B47" s="4" t="s">
        <v>96</v>
      </c>
      <c r="C47" s="5">
        <v>73544</v>
      </c>
      <c r="D47" s="6" t="str">
        <f t="shared" si="0"/>
        <v>Менее 100 тыс.</v>
      </c>
    </row>
    <row r="48" spans="1:4" x14ac:dyDescent="0.25">
      <c r="A48" s="4" t="s">
        <v>48</v>
      </c>
      <c r="B48" s="4" t="s">
        <v>97</v>
      </c>
      <c r="C48" s="5">
        <v>22012</v>
      </c>
      <c r="D48" s="6" t="str">
        <f t="shared" si="0"/>
        <v>Менее 100 тыс.</v>
      </c>
    </row>
    <row r="49" spans="1:4" x14ac:dyDescent="0.25">
      <c r="A49" s="4" t="s">
        <v>49</v>
      </c>
      <c r="B49" s="4" t="s">
        <v>98</v>
      </c>
      <c r="C49" s="5">
        <v>316974</v>
      </c>
      <c r="D49" s="6" t="str">
        <f t="shared" si="0"/>
        <v>свыше 200 тыс.</v>
      </c>
    </row>
    <row r="50" spans="1:4" x14ac:dyDescent="0.25">
      <c r="A50" s="4" t="s">
        <v>50</v>
      </c>
      <c r="B50" s="4" t="s">
        <v>99</v>
      </c>
      <c r="C50" s="5">
        <v>104772</v>
      </c>
      <c r="D50" s="6" t="str">
        <f t="shared" si="0"/>
        <v>От 100 тыс. до 200 тыс.</v>
      </c>
    </row>
    <row r="51" spans="1:4" x14ac:dyDescent="0.25">
      <c r="A51" s="4" t="s">
        <v>51</v>
      </c>
      <c r="B51" s="4" t="s">
        <v>54</v>
      </c>
      <c r="C51" s="5">
        <v>38389</v>
      </c>
      <c r="D51" s="6" t="str">
        <f t="shared" si="0"/>
        <v>Менее 100 тыс.</v>
      </c>
    </row>
    <row r="52" spans="1:4" x14ac:dyDescent="0.25">
      <c r="A52" s="7" t="s">
        <v>52</v>
      </c>
      <c r="B52" s="7"/>
      <c r="C52" s="8">
        <f>SUM(C3:C51)</f>
        <v>7458718</v>
      </c>
      <c r="D52" s="6"/>
    </row>
  </sheetData>
  <autoFilter ref="A1:D52" xr:uid="{A115D1B2-B69C-4680-BB81-FFBE1B592CFF}"/>
  <mergeCells count="5">
    <mergeCell ref="D1:D2"/>
    <mergeCell ref="A52:B52"/>
    <mergeCell ref="A1:A2"/>
    <mergeCell ref="B1:B2"/>
    <mergeCell ref="C1:C2"/>
  </mergeCells>
  <conditionalFormatting sqref="D3:D5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2026-06-17T07:30:00Z</dcterms:created>
  <dcterms:modified xsi:type="dcterms:W3CDTF">2026-06-17T07:38:56Z</dcterms:modified>
</cp:coreProperties>
</file>